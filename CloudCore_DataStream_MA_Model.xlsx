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EPS Model" sheetId="2" r:id="rId6"/>
    <sheet state="visible" name="Sensitivity" sheetId="3" r:id="rId7"/>
    <sheet state="visible" name="Output page" sheetId="4" r:id="rId8"/>
  </sheets>
  <definedNames/>
  <calcPr/>
</workbook>
</file>

<file path=xl/sharedStrings.xml><?xml version="1.0" encoding="utf-8"?>
<sst xmlns="http://schemas.openxmlformats.org/spreadsheetml/2006/main" count="137" uniqueCount="132">
  <si>
    <t>M&amp;A Financial Model - CloudCore Inc. / DataStream Analytics</t>
  </si>
  <si>
    <t>Asssumptions</t>
  </si>
  <si>
    <t>Base Case</t>
  </si>
  <si>
    <t>Acquiror – CloudCore Inc.</t>
  </si>
  <si>
    <t>Revenue CloudCore ($M)</t>
  </si>
  <si>
    <t>EBITDA margin</t>
  </si>
  <si>
    <t>D&amp;A standalone ($M)</t>
  </si>
  <si>
    <t>Estimated; ~3.75% of revenue</t>
  </si>
  <si>
    <t>Net Debt Pre deal ($M)</t>
  </si>
  <si>
    <t>Pre-deal Interest Rate</t>
  </si>
  <si>
    <t>Existing term loan @ 5%</t>
  </si>
  <si>
    <t>Tax Rate</t>
  </si>
  <si>
    <t>Blended US federal + state estimate</t>
  </si>
  <si>
    <t>Diluted shares outstanding ($M)</t>
  </si>
  <si>
    <t>CloudCore share price ($)</t>
  </si>
  <si>
    <t>CloudCore revenue growth (YoY)</t>
  </si>
  <si>
    <t>Reference price for stock consideration</t>
  </si>
  <si>
    <t>Target – DataStream Analytics</t>
  </si>
  <si>
    <t>ARR LTM ($M)</t>
  </si>
  <si>
    <t>ARR growth rate (YoY)</t>
  </si>
  <si>
    <t>Gross margin</t>
  </si>
  <si>
    <t>OpEx as % of revenue</t>
  </si>
  <si>
    <t>D&amp;A target standalone ($M)</t>
  </si>
  <si>
    <t>Estimated</t>
  </si>
  <si>
    <t>Net Revenue Retention</t>
  </si>
  <si>
    <t>Deal Structure</t>
  </si>
  <si>
    <t>Acquisition Price ($M)</t>
  </si>
  <si>
    <t>6.0x ARR; ~17x fwd EBITDA</t>
  </si>
  <si>
    <t>Stock Consideration (%)</t>
  </si>
  <si>
    <t>40% stock / 60% cash+debt</t>
  </si>
  <si>
    <t>New Term Loan B ($M)</t>
  </si>
  <si>
    <t>5-year TLB</t>
  </si>
  <si>
    <t>New Debt Interest Rate</t>
  </si>
  <si>
    <t>SOFR + 250bps spread</t>
  </si>
  <si>
    <t>Transaction Fees (% of price)</t>
  </si>
  <si>
    <t>Advisory + Legal + Financing fees</t>
  </si>
  <si>
    <t>PPA Intangibles (% of price)</t>
  </si>
  <si>
    <t>Customer relationships + technology IP</t>
  </si>
  <si>
    <t>PPA amortization life (yrs)</t>
  </si>
  <si>
    <t>Straight-line over 6 yrs</t>
  </si>
  <si>
    <t>Synergies</t>
  </si>
  <si>
    <t>Revenue Synergies – fully ramped ($M ARR)</t>
  </si>
  <si>
    <t>Cross-sell + upsell; $28M+$14M</t>
  </si>
  <si>
    <t>Cost Synergies – fully ramped ($M OpEx)</t>
  </si>
  <si>
    <t>Infrastructure + G&amp;A overlap</t>
  </si>
  <si>
    <t>Synergies realized in Year 1 (%)</t>
  </si>
  <si>
    <t>Ramp assumption</t>
  </si>
  <si>
    <t>Synergies realized in Year 2 (%)</t>
  </si>
  <si>
    <t>Synergies realized in Year 3 (%)</t>
  </si>
  <si>
    <t xml:space="preserve">Fully Ramped yr3 </t>
  </si>
  <si>
    <t>Integration costs – one-time ($M)</t>
  </si>
  <si>
    <t>Systems + Talent retention + rebrand</t>
  </si>
  <si>
    <t>EBS Accretion/Dilution Model – CloudCore acquires DataStream</t>
  </si>
  <si>
    <t>Pro forma EPS Bridge | Year 1-Year 3</t>
  </si>
  <si>
    <t>Year 1 ($M)</t>
  </si>
  <si>
    <t>Year 2 ($M)</t>
  </si>
  <si>
    <t>Year 3 ($M)</t>
  </si>
  <si>
    <t>BLOCK 1 – CloudCore Standalone (pre-deal)</t>
  </si>
  <si>
    <t>Revenue CloudCore</t>
  </si>
  <si>
    <t>EBITDA (22%)</t>
  </si>
  <si>
    <t>D&amp;A standalone</t>
  </si>
  <si>
    <t xml:space="preserve">EBIT </t>
  </si>
  <si>
    <t>Interest expense</t>
  </si>
  <si>
    <t>EBT</t>
  </si>
  <si>
    <t>Taxes</t>
  </si>
  <si>
    <t>Net income standalone</t>
  </si>
  <si>
    <t>Diluted shares outstanding</t>
  </si>
  <si>
    <t>EPS standalone</t>
  </si>
  <si>
    <t>BLOCK 2 – Sources &amp; Uses</t>
  </si>
  <si>
    <t>New Term Loan B</t>
  </si>
  <si>
    <t>CloudCore Cash</t>
  </si>
  <si>
    <t>Stock Consideration(40%)</t>
  </si>
  <si>
    <t>Total Sources</t>
  </si>
  <si>
    <t>Acquisition Price</t>
  </si>
  <si>
    <t>Transaction fees</t>
  </si>
  <si>
    <t>Total Uses</t>
  </si>
  <si>
    <t xml:space="preserve">Sources = Uses </t>
  </si>
  <si>
    <t>BLOCK 3 – Share Dilution</t>
  </si>
  <si>
    <t>Stock Consideration</t>
  </si>
  <si>
    <t>PPS CloudCore</t>
  </si>
  <si>
    <t>New Shares</t>
  </si>
  <si>
    <t>Shares Prev. Outstanding</t>
  </si>
  <si>
    <t>Pro forma shares</t>
  </si>
  <si>
    <t>BLOCK 4 – Deal Costs (reduce earnings)</t>
  </si>
  <si>
    <t>Interest – new Term Loan B</t>
  </si>
  <si>
    <t>PPA Amortization (intangibles)</t>
  </si>
  <si>
    <t>Transaction fees (one time, Yr1)</t>
  </si>
  <si>
    <t>Total deal costs pre-tax</t>
  </si>
  <si>
    <t>Tax shield on deal costs</t>
  </si>
  <si>
    <t>Deal costs after tax</t>
  </si>
  <si>
    <t>BLOCK 5 – DataStream Earnings Contribution</t>
  </si>
  <si>
    <t>ARR (start of year)</t>
  </si>
  <si>
    <t>Gross profit</t>
  </si>
  <si>
    <t>OpEx</t>
  </si>
  <si>
    <t>D&amp;A DataStream Standalone</t>
  </si>
  <si>
    <t>Cost synergies realized</t>
  </si>
  <si>
    <t>Integration Costs (one time, Yr1)</t>
  </si>
  <si>
    <t>EBIT Contribution</t>
  </si>
  <si>
    <t>Taxes on target earnings</t>
  </si>
  <si>
    <t>Net Income Contributions</t>
  </si>
  <si>
    <t>BLOCK 6 – Pro forma EPS Bridge</t>
  </si>
  <si>
    <t>(+)Net income – CloudCore Standalone</t>
  </si>
  <si>
    <t>(+)Net income contributions – DataStream</t>
  </si>
  <si>
    <t>(-)Deal Costs after-tax</t>
  </si>
  <si>
    <t>Pro forma net income</t>
  </si>
  <si>
    <t>Pro forma shares (M)</t>
  </si>
  <si>
    <t>EPS – Pro forma</t>
  </si>
  <si>
    <t>EPS – Standalone</t>
  </si>
  <si>
    <t>Accretion/(Dilution) – $</t>
  </si>
  <si>
    <t>Accretion/(Dilution) – %</t>
  </si>
  <si>
    <t>Sensitivity Analysis – Accretion/Dilution (%)</t>
  </si>
  <si>
    <t>Year 3 EPS % change vs. standalone | Acquisition price vs. synergy realization</t>
  </si>
  <si>
    <t>Acq. Price / Syns realized</t>
  </si>
  <si>
    <t>Bold Border = base case ($570M, 100% synergies)</t>
  </si>
  <si>
    <t>Color scale: red = dilutive  ·  white = breakeven  ·  green = accretive</t>
  </si>
  <si>
    <t>Year 1 Sensitivity</t>
  </si>
  <si>
    <t>CloudCore Inc. | Acquisition of DataStream Analytics | EPS Summary</t>
  </si>
  <si>
    <t>Disclaimer: fictional case based in SaaS market comparables and public data from Bloomberg/FactSet.</t>
  </si>
  <si>
    <t>Year 1</t>
  </si>
  <si>
    <t>Year 2</t>
  </si>
  <si>
    <t>Year 3</t>
  </si>
  <si>
    <t>Deal at a Glance</t>
  </si>
  <si>
    <t>Acquisition price ($M)</t>
  </si>
  <si>
    <t>Purchase price / ARR</t>
  </si>
  <si>
    <t>Stock consideration (%)</t>
  </si>
  <si>
    <t>EPS Bridge</t>
  </si>
  <si>
    <t>EPS Standalone</t>
  </si>
  <si>
    <t>EPS Pro forma</t>
  </si>
  <si>
    <t>Key Value Drivers</t>
  </si>
  <si>
    <t>CloudCore revenue ($M)</t>
  </si>
  <si>
    <t>DataStream ARR ($M)</t>
  </si>
  <si>
    <t>Cost Synergies Realized ($M)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</si>
</sst>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$]#,##0.00"/>
    <numFmt numFmtId="165" formatCode="0.0%"/>
    <numFmt numFmtId="166" formatCode="#,##0.00;(#,##0.00)"/>
    <numFmt numFmtId="167" formatCode="$#,##0.0_);($#,##0.0)"/>
    <numFmt numFmtId="168" formatCode="0%;(0%);--%"/>
    <numFmt numFmtId="169" formatCode="0.0%;(0.0%);--%"/>
    <numFmt numFmtId="170" formatCode="[$$]#,##0.0"/>
    <numFmt numFmtId="171" formatCode="0.0"/>
    <numFmt numFmtId="172" formatCode="$#,##0.000_);($#,##0.000)"/>
  </numFmts>
  <fonts count="17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FF"/>
      <name val="Arial"/>
      <scheme val="minor"/>
    </font>
    <font>
      <i/>
      <color theme="1"/>
      <name val="Arial"/>
      <scheme val="minor"/>
    </font>
    <font>
      <i/>
      <color rgb="FF374151"/>
      <name val="Arial"/>
      <scheme val="minor"/>
    </font>
    <font>
      <i/>
      <sz val="9.0"/>
      <color rgb="FF374151"/>
      <name val="Monospace"/>
    </font>
    <font>
      <b/>
      <color rgb="FF0000FF"/>
      <name val="Arial"/>
      <scheme val="minor"/>
    </font>
    <font>
      <i/>
      <sz val="9.0"/>
      <color rgb="FF374151"/>
      <name val="Arial"/>
    </font>
    <font>
      <i/>
      <sz val="9.0"/>
      <color rgb="FF374151"/>
      <name val="Arial"/>
      <scheme val="minor"/>
    </font>
    <font/>
    <font>
      <color rgb="FF000000"/>
      <name val="Arial"/>
      <scheme val="minor"/>
    </font>
    <font>
      <b/>
      <sz val="10.0"/>
      <color rgb="FF000000"/>
      <name val="Inherit"/>
    </font>
    <font>
      <b/>
      <sz val="10.0"/>
      <color rgb="FF000000"/>
      <name val="Arial"/>
      <scheme val="minor"/>
    </font>
    <font>
      <sz val="9.0"/>
      <color rgb="FFF7981D"/>
      <name val="Inherit"/>
    </font>
  </fonts>
  <fills count="8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0B5394"/>
        <bgColor rgb="FF0B5394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</fills>
  <borders count="3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1" fillId="4" fontId="3" numFmtId="0" xfId="0" applyAlignment="1" applyBorder="1" applyFill="1" applyFont="1">
      <alignment readingOrder="0"/>
    </xf>
    <xf borderId="1" fillId="4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5" numFmtId="164" xfId="0" applyFont="1" applyNumberFormat="1"/>
    <xf borderId="0" fillId="0" fontId="6" numFmtId="0" xfId="0" applyFont="1"/>
    <xf borderId="0" fillId="0" fontId="5" numFmtId="165" xfId="0" applyAlignment="1" applyFont="1" applyNumberFormat="1">
      <alignment readingOrder="0"/>
    </xf>
    <xf borderId="0" fillId="0" fontId="7" numFmtId="0" xfId="0" applyFont="1"/>
    <xf borderId="0" fillId="0" fontId="8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/>
    </xf>
    <xf borderId="0" fillId="0" fontId="8" numFmtId="0" xfId="0" applyAlignment="1" applyFont="1">
      <alignment shrinkToFit="0" wrapText="0"/>
    </xf>
    <xf borderId="0" fillId="0" fontId="5" numFmtId="166" xfId="0" applyFont="1" applyNumberFormat="1"/>
    <xf borderId="1" fillId="4" fontId="9" numFmtId="0" xfId="0" applyBorder="1" applyFont="1"/>
    <xf borderId="1" fillId="4" fontId="4" numFmtId="0" xfId="0" applyBorder="1" applyFont="1"/>
    <xf borderId="1" fillId="4" fontId="7" numFmtId="0" xfId="0" applyBorder="1" applyFont="1"/>
    <xf borderId="0" fillId="0" fontId="7" numFmtId="0" xfId="0" applyAlignment="1" applyFont="1">
      <alignment readingOrder="0"/>
    </xf>
    <xf borderId="0" fillId="0" fontId="5" numFmtId="0" xfId="0" applyFont="1"/>
    <xf borderId="0" fillId="0" fontId="5" numFmtId="9" xfId="0" applyAlignment="1" applyFont="1" applyNumberFormat="1">
      <alignment readingOrder="0"/>
    </xf>
    <xf borderId="0" fillId="0" fontId="10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11" numFmtId="0" xfId="0" applyAlignment="1" applyFont="1">
      <alignment readingOrder="0"/>
    </xf>
    <xf borderId="1" fillId="0" fontId="12" numFmtId="0" xfId="0" applyBorder="1" applyFont="1"/>
    <xf borderId="0" fillId="0" fontId="4" numFmtId="7" xfId="0" applyAlignment="1" applyFont="1" applyNumberFormat="1">
      <alignment horizontal="right"/>
    </xf>
    <xf borderId="0" fillId="4" fontId="3" numFmtId="0" xfId="0" applyAlignment="1" applyFont="1">
      <alignment readingOrder="0"/>
    </xf>
    <xf borderId="0" fillId="4" fontId="3" numFmtId="7" xfId="0" applyAlignment="1" applyFont="1" applyNumberFormat="1">
      <alignment horizontal="right"/>
    </xf>
    <xf borderId="0" fillId="5" fontId="3" numFmtId="0" xfId="0" applyAlignment="1" applyFill="1" applyFont="1">
      <alignment readingOrder="0"/>
    </xf>
    <xf borderId="0" fillId="5" fontId="3" numFmtId="7" xfId="0" applyAlignment="1" applyFont="1" applyNumberFormat="1">
      <alignment horizontal="right"/>
    </xf>
    <xf borderId="0" fillId="0" fontId="4" numFmtId="7" xfId="0" applyFont="1" applyNumberFormat="1"/>
    <xf borderId="0" fillId="4" fontId="3" numFmtId="7" xfId="0" applyFont="1" applyNumberFormat="1"/>
    <xf borderId="0" fillId="0" fontId="3" numFmtId="0" xfId="0" applyFont="1"/>
    <xf borderId="0" fillId="6" fontId="3" numFmtId="0" xfId="0" applyAlignment="1" applyFill="1" applyFont="1">
      <alignment readingOrder="0"/>
    </xf>
    <xf borderId="0" fillId="6" fontId="3" numFmtId="7" xfId="0" applyAlignment="1" applyFont="1" applyNumberFormat="1">
      <alignment horizontal="right"/>
    </xf>
    <xf borderId="0" fillId="6" fontId="3" numFmtId="7" xfId="0" applyFont="1" applyNumberFormat="1"/>
    <xf borderId="0" fillId="0" fontId="4" numFmtId="167" xfId="0" applyFont="1" applyNumberFormat="1"/>
    <xf borderId="0" fillId="0" fontId="4" numFmtId="167" xfId="0" applyAlignment="1" applyFont="1" applyNumberFormat="1">
      <alignment readingOrder="0"/>
    </xf>
    <xf borderId="0" fillId="5" fontId="3" numFmtId="167" xfId="0" applyFont="1" applyNumberFormat="1"/>
    <xf borderId="0" fillId="0" fontId="4" numFmtId="7" xfId="0" applyFont="1" applyNumberFormat="1"/>
    <xf borderId="0" fillId="0" fontId="13" numFmtId="0" xfId="0" applyAlignment="1" applyFont="1">
      <alignment readingOrder="0"/>
    </xf>
    <xf borderId="0" fillId="0" fontId="13" numFmtId="7" xfId="0" applyFont="1" applyNumberFormat="1"/>
    <xf borderId="0" fillId="4" fontId="3" numFmtId="7" xfId="0" applyFont="1" applyNumberFormat="1"/>
    <xf borderId="0" fillId="0" fontId="3" numFmtId="7" xfId="0" applyFont="1" applyNumberFormat="1"/>
    <xf borderId="0" fillId="4" fontId="3" numFmtId="168" xfId="0" applyFont="1" applyNumberFormat="1"/>
    <xf borderId="0" fillId="3" fontId="2" numFmtId="168" xfId="0" applyAlignment="1" applyFont="1" applyNumberFormat="1">
      <alignment readingOrder="0"/>
    </xf>
    <xf borderId="0" fillId="3" fontId="2" numFmtId="5" xfId="0" applyAlignment="1" applyFont="1" applyNumberFormat="1">
      <alignment readingOrder="0"/>
    </xf>
    <xf borderId="0" fillId="0" fontId="3" numFmtId="169" xfId="0" applyFont="1" applyNumberFormat="1"/>
    <xf borderId="2" fillId="0" fontId="3" numFmtId="169" xfId="0" applyBorder="1" applyFont="1" applyNumberFormat="1"/>
    <xf borderId="0" fillId="0" fontId="6" numFmtId="0" xfId="0" applyAlignment="1" applyFont="1">
      <alignment readingOrder="0"/>
    </xf>
    <xf borderId="0" fillId="0" fontId="14" numFmtId="169" xfId="0" applyFont="1" applyNumberFormat="1"/>
    <xf borderId="0" fillId="0" fontId="15" numFmtId="169" xfId="0" applyFont="1" applyNumberFormat="1"/>
    <xf borderId="0" fillId="0" fontId="16" numFmtId="0" xfId="0" applyFont="1"/>
    <xf borderId="1" fillId="4" fontId="3" numFmtId="0" xfId="0" applyBorder="1" applyFont="1"/>
    <xf borderId="0" fillId="0" fontId="4" numFmtId="170" xfId="0" applyFont="1" applyNumberFormat="1"/>
    <xf borderId="0" fillId="0" fontId="4" numFmtId="171" xfId="0" applyFont="1" applyNumberFormat="1"/>
    <xf borderId="0" fillId="0" fontId="4" numFmtId="9" xfId="0" applyFont="1" applyNumberFormat="1"/>
    <xf borderId="0" fillId="0" fontId="4" numFmtId="172" xfId="0" applyFont="1" applyNumberFormat="1"/>
    <xf borderId="0" fillId="7" fontId="3" numFmtId="0" xfId="0" applyAlignment="1" applyFill="1" applyFont="1">
      <alignment readingOrder="0"/>
    </xf>
    <xf borderId="0" fillId="7" fontId="3" numFmtId="7" xfId="0" applyFont="1" applyNumberFormat="1"/>
    <xf borderId="0" fillId="7" fontId="3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4" max="4" width="27.13"/>
  </cols>
  <sheetData>
    <row r="1">
      <c r="A1" s="1" t="s">
        <v>0</v>
      </c>
    </row>
    <row r="2">
      <c r="A2" s="2" t="s">
        <v>1</v>
      </c>
    </row>
    <row r="3">
      <c r="B3" s="3" t="s">
        <v>2</v>
      </c>
    </row>
    <row r="4">
      <c r="A4" s="4" t="s">
        <v>3</v>
      </c>
      <c r="B4" s="4"/>
      <c r="C4" s="5"/>
      <c r="D4" s="5"/>
    </row>
    <row r="5">
      <c r="A5" s="6" t="s">
        <v>4</v>
      </c>
      <c r="B5" s="7">
        <f>480</f>
        <v>480</v>
      </c>
      <c r="D5" s="8"/>
    </row>
    <row r="6">
      <c r="A6" s="6" t="s">
        <v>5</v>
      </c>
      <c r="B6" s="9">
        <v>0.22</v>
      </c>
      <c r="D6" s="10"/>
    </row>
    <row r="7">
      <c r="A7" s="6" t="s">
        <v>6</v>
      </c>
      <c r="B7" s="7">
        <f>18</f>
        <v>18</v>
      </c>
      <c r="D7" s="11" t="s">
        <v>7</v>
      </c>
    </row>
    <row r="8">
      <c r="A8" s="6" t="s">
        <v>8</v>
      </c>
      <c r="B8" s="12">
        <f>120</f>
        <v>120</v>
      </c>
      <c r="D8" s="13"/>
    </row>
    <row r="9">
      <c r="A9" s="6" t="s">
        <v>9</v>
      </c>
      <c r="B9" s="9">
        <v>0.05</v>
      </c>
      <c r="D9" s="11" t="s">
        <v>10</v>
      </c>
    </row>
    <row r="10">
      <c r="A10" s="6" t="s">
        <v>11</v>
      </c>
      <c r="B10" s="9">
        <v>0.25</v>
      </c>
      <c r="D10" s="11" t="s">
        <v>12</v>
      </c>
    </row>
    <row r="11">
      <c r="A11" s="6" t="s">
        <v>13</v>
      </c>
      <c r="B11" s="12">
        <v>82.0</v>
      </c>
      <c r="D11" s="13"/>
    </row>
    <row r="12">
      <c r="A12" s="6" t="s">
        <v>14</v>
      </c>
      <c r="B12" s="12">
        <v>38.0</v>
      </c>
      <c r="D12" s="10"/>
    </row>
    <row r="13">
      <c r="A13" s="6" t="s">
        <v>15</v>
      </c>
      <c r="B13" s="9">
        <v>0.05</v>
      </c>
      <c r="D13" s="11" t="s">
        <v>16</v>
      </c>
    </row>
    <row r="14">
      <c r="B14" s="14"/>
      <c r="D14" s="13"/>
    </row>
    <row r="15">
      <c r="A15" s="4" t="s">
        <v>17</v>
      </c>
      <c r="B15" s="15"/>
      <c r="C15" s="16"/>
      <c r="D15" s="17"/>
    </row>
    <row r="16">
      <c r="A16" s="6" t="s">
        <v>18</v>
      </c>
      <c r="B16" s="12">
        <v>95.0</v>
      </c>
      <c r="D16" s="10"/>
    </row>
    <row r="17">
      <c r="A17" s="6" t="s">
        <v>19</v>
      </c>
      <c r="B17" s="9">
        <v>0.38</v>
      </c>
      <c r="D17" s="10"/>
    </row>
    <row r="18">
      <c r="A18" s="6" t="s">
        <v>20</v>
      </c>
      <c r="B18" s="9">
        <v>0.74</v>
      </c>
      <c r="D18" s="10"/>
    </row>
    <row r="19">
      <c r="A19" s="6" t="s">
        <v>21</v>
      </c>
      <c r="B19" s="9">
        <v>0.54</v>
      </c>
      <c r="D19" s="10"/>
    </row>
    <row r="20">
      <c r="A20" s="6" t="s">
        <v>22</v>
      </c>
      <c r="B20" s="12">
        <v>5.0</v>
      </c>
      <c r="D20" s="18" t="s">
        <v>23</v>
      </c>
    </row>
    <row r="21">
      <c r="A21" s="6" t="s">
        <v>24</v>
      </c>
      <c r="B21" s="9">
        <v>1.18</v>
      </c>
      <c r="D21" s="10"/>
    </row>
    <row r="22">
      <c r="B22" s="19"/>
      <c r="D22" s="10"/>
    </row>
    <row r="23">
      <c r="A23" s="4" t="s">
        <v>25</v>
      </c>
      <c r="B23" s="15"/>
      <c r="C23" s="16"/>
      <c r="D23" s="17"/>
    </row>
    <row r="24">
      <c r="A24" s="6" t="s">
        <v>26</v>
      </c>
      <c r="B24" s="12">
        <v>570.0</v>
      </c>
      <c r="D24" s="11" t="s">
        <v>27</v>
      </c>
    </row>
    <row r="25">
      <c r="A25" s="6" t="s">
        <v>28</v>
      </c>
      <c r="B25" s="20">
        <v>0.4</v>
      </c>
      <c r="D25" s="11" t="s">
        <v>29</v>
      </c>
    </row>
    <row r="26">
      <c r="A26" s="6" t="s">
        <v>30</v>
      </c>
      <c r="B26" s="12">
        <v>200.0</v>
      </c>
      <c r="D26" s="11" t="s">
        <v>31</v>
      </c>
    </row>
    <row r="27">
      <c r="A27" s="6" t="s">
        <v>32</v>
      </c>
      <c r="B27" s="9">
        <v>0.075</v>
      </c>
      <c r="D27" s="11" t="s">
        <v>33</v>
      </c>
    </row>
    <row r="28">
      <c r="A28" s="6" t="s">
        <v>34</v>
      </c>
      <c r="B28" s="9">
        <v>0.02</v>
      </c>
      <c r="D28" s="21" t="s">
        <v>35</v>
      </c>
    </row>
    <row r="29">
      <c r="A29" s="6" t="s">
        <v>36</v>
      </c>
      <c r="B29" s="9">
        <v>0.2</v>
      </c>
      <c r="D29" s="21" t="s">
        <v>37</v>
      </c>
    </row>
    <row r="30">
      <c r="A30" s="6" t="s">
        <v>38</v>
      </c>
      <c r="B30" s="22">
        <v>6.0</v>
      </c>
      <c r="D30" s="23" t="s">
        <v>39</v>
      </c>
    </row>
    <row r="31">
      <c r="B31" s="19"/>
      <c r="D31" s="10"/>
    </row>
    <row r="32">
      <c r="A32" s="4" t="s">
        <v>40</v>
      </c>
      <c r="B32" s="15"/>
      <c r="C32" s="16"/>
      <c r="D32" s="17"/>
    </row>
    <row r="33">
      <c r="A33" s="6" t="s">
        <v>41</v>
      </c>
      <c r="B33" s="12">
        <v>42.0</v>
      </c>
      <c r="D33" s="23" t="s">
        <v>42</v>
      </c>
    </row>
    <row r="34">
      <c r="A34" s="6" t="s">
        <v>43</v>
      </c>
      <c r="B34" s="12">
        <v>14.0</v>
      </c>
      <c r="D34" s="23" t="s">
        <v>44</v>
      </c>
    </row>
    <row r="35">
      <c r="A35" s="6" t="s">
        <v>45</v>
      </c>
      <c r="B35" s="9">
        <v>0.5</v>
      </c>
      <c r="D35" s="23" t="s">
        <v>46</v>
      </c>
    </row>
    <row r="36">
      <c r="A36" s="6" t="s">
        <v>47</v>
      </c>
      <c r="B36" s="9">
        <v>0.8</v>
      </c>
      <c r="D36" s="23" t="s">
        <v>46</v>
      </c>
    </row>
    <row r="37">
      <c r="A37" s="6" t="s">
        <v>48</v>
      </c>
      <c r="B37" s="9">
        <v>1.0</v>
      </c>
      <c r="D37" s="23" t="s">
        <v>49</v>
      </c>
    </row>
    <row r="38">
      <c r="A38" s="6" t="s">
        <v>50</v>
      </c>
      <c r="B38" s="12">
        <v>22.0</v>
      </c>
      <c r="D38" s="23" t="s">
        <v>51</v>
      </c>
    </row>
  </sheetData>
  <mergeCells count="2">
    <mergeCell ref="A1:D1"/>
    <mergeCell ref="A2:D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</cols>
  <sheetData>
    <row r="1">
      <c r="A1" s="1" t="s">
        <v>52</v>
      </c>
    </row>
    <row r="2">
      <c r="A2" s="2" t="s">
        <v>53</v>
      </c>
    </row>
    <row r="4">
      <c r="B4" s="2" t="s">
        <v>54</v>
      </c>
      <c r="C4" s="2" t="s">
        <v>55</v>
      </c>
      <c r="D4" s="2" t="s">
        <v>56</v>
      </c>
    </row>
    <row r="5">
      <c r="A5" s="4" t="s">
        <v>57</v>
      </c>
      <c r="B5" s="24"/>
      <c r="C5" s="24"/>
      <c r="D5" s="24"/>
    </row>
    <row r="6">
      <c r="A6" s="6" t="s">
        <v>58</v>
      </c>
      <c r="B6" s="25">
        <f>Assumptions!$B5*(1+Assumptions!B13)</f>
        <v>504</v>
      </c>
      <c r="C6" s="25">
        <f>B6*(1+Assumptions!B13)</f>
        <v>529.2</v>
      </c>
      <c r="D6" s="25">
        <f>C6*(1+Assumptions!B13)</f>
        <v>555.66</v>
      </c>
    </row>
    <row r="7">
      <c r="A7" s="6" t="s">
        <v>59</v>
      </c>
      <c r="B7" s="25">
        <f>B6*(Assumptions!B6)</f>
        <v>110.88</v>
      </c>
      <c r="C7" s="25">
        <f>C6*(Assumptions!B6)</f>
        <v>116.424</v>
      </c>
      <c r="D7" s="25">
        <f>D6*(Assumptions!B6)</f>
        <v>122.2452</v>
      </c>
    </row>
    <row r="8">
      <c r="A8" s="6" t="s">
        <v>60</v>
      </c>
      <c r="B8" s="25">
        <f>-Assumptions!B7</f>
        <v>-18</v>
      </c>
      <c r="C8" s="25">
        <f>-Assumptions!B7</f>
        <v>-18</v>
      </c>
      <c r="D8" s="25">
        <f>-Assumptions!B7</f>
        <v>-18</v>
      </c>
    </row>
    <row r="9">
      <c r="A9" s="6" t="s">
        <v>61</v>
      </c>
      <c r="B9" s="25">
        <f t="shared" ref="B9:D9" si="1">B7+B8</f>
        <v>92.88</v>
      </c>
      <c r="C9" s="25">
        <f t="shared" si="1"/>
        <v>98.424</v>
      </c>
      <c r="D9" s="25">
        <f t="shared" si="1"/>
        <v>104.2452</v>
      </c>
    </row>
    <row r="10">
      <c r="A10" s="6" t="s">
        <v>62</v>
      </c>
      <c r="B10" s="25">
        <f>-Assumptions!B8*Assumptions!B9</f>
        <v>-6</v>
      </c>
      <c r="C10" s="25">
        <f>-Assumptions!B8*Assumptions!B9</f>
        <v>-6</v>
      </c>
      <c r="D10" s="25">
        <f>-Assumptions!B8*Assumptions!B9</f>
        <v>-6</v>
      </c>
    </row>
    <row r="11">
      <c r="A11" s="6" t="s">
        <v>63</v>
      </c>
      <c r="B11" s="25">
        <f t="shared" ref="B11:D11" si="2">B9+B10</f>
        <v>86.88</v>
      </c>
      <c r="C11" s="25">
        <f t="shared" si="2"/>
        <v>92.424</v>
      </c>
      <c r="D11" s="25">
        <f t="shared" si="2"/>
        <v>98.2452</v>
      </c>
    </row>
    <row r="12">
      <c r="A12" s="6" t="s">
        <v>64</v>
      </c>
      <c r="B12" s="25">
        <f>B11*(-Assumptions!B10)</f>
        <v>-21.72</v>
      </c>
      <c r="C12" s="25">
        <f>C11*(-Assumptions!B10)</f>
        <v>-23.106</v>
      </c>
      <c r="D12" s="25">
        <f>D11*(-Assumptions!B10)</f>
        <v>-24.5613</v>
      </c>
    </row>
    <row r="13">
      <c r="A13" s="26" t="s">
        <v>65</v>
      </c>
      <c r="B13" s="27">
        <f t="shared" ref="B13:D13" si="3">B11+B12</f>
        <v>65.16</v>
      </c>
      <c r="C13" s="27">
        <f t="shared" si="3"/>
        <v>69.318</v>
      </c>
      <c r="D13" s="27">
        <f t="shared" si="3"/>
        <v>73.6839</v>
      </c>
    </row>
    <row r="14">
      <c r="A14" s="6" t="s">
        <v>66</v>
      </c>
      <c r="B14" s="25">
        <f t="shared" ref="B14:D14" si="4">82</f>
        <v>82</v>
      </c>
      <c r="C14" s="25">
        <f t="shared" si="4"/>
        <v>82</v>
      </c>
      <c r="D14" s="25">
        <f t="shared" si="4"/>
        <v>82</v>
      </c>
    </row>
    <row r="15">
      <c r="A15" s="28" t="s">
        <v>67</v>
      </c>
      <c r="B15" s="29">
        <f t="shared" ref="B15:D15" si="5">B13/B14</f>
        <v>0.7946341463</v>
      </c>
      <c r="C15" s="29">
        <f t="shared" si="5"/>
        <v>0.8453414634</v>
      </c>
      <c r="D15" s="29">
        <f t="shared" si="5"/>
        <v>0.8985841463</v>
      </c>
    </row>
    <row r="17">
      <c r="A17" s="4" t="s">
        <v>68</v>
      </c>
      <c r="B17" s="24"/>
      <c r="C17" s="24"/>
      <c r="D17" s="24"/>
    </row>
    <row r="18">
      <c r="A18" s="6" t="s">
        <v>69</v>
      </c>
      <c r="B18" s="30">
        <f>200</f>
        <v>200</v>
      </c>
    </row>
    <row r="19">
      <c r="A19" s="6" t="s">
        <v>70</v>
      </c>
      <c r="B19" s="30">
        <f>B24-B18-B20</f>
        <v>153.4</v>
      </c>
    </row>
    <row r="20">
      <c r="A20" s="6" t="s">
        <v>71</v>
      </c>
      <c r="B20" s="30">
        <f>570*0.4</f>
        <v>228</v>
      </c>
    </row>
    <row r="21">
      <c r="A21" s="26" t="s">
        <v>72</v>
      </c>
      <c r="B21" s="31">
        <f>SUM(B18:B20)</f>
        <v>581.4</v>
      </c>
    </row>
    <row r="22">
      <c r="A22" s="6" t="s">
        <v>73</v>
      </c>
      <c r="B22" s="30">
        <f>570</f>
        <v>570</v>
      </c>
    </row>
    <row r="23">
      <c r="A23" s="6" t="s">
        <v>74</v>
      </c>
      <c r="B23" s="30">
        <f>B22*0.02</f>
        <v>11.4</v>
      </c>
    </row>
    <row r="24">
      <c r="A24" s="26" t="s">
        <v>75</v>
      </c>
      <c r="B24" s="31">
        <f>B22+B23</f>
        <v>581.4</v>
      </c>
    </row>
    <row r="25">
      <c r="A25" s="6" t="s">
        <v>76</v>
      </c>
      <c r="B25" s="32" t="b">
        <f>B21=B24</f>
        <v>1</v>
      </c>
    </row>
    <row r="27">
      <c r="A27" s="4" t="s">
        <v>77</v>
      </c>
      <c r="B27" s="24"/>
      <c r="C27" s="24"/>
      <c r="D27" s="24"/>
    </row>
    <row r="28">
      <c r="A28" s="6" t="s">
        <v>78</v>
      </c>
      <c r="B28" s="30">
        <f>B20</f>
        <v>228</v>
      </c>
    </row>
    <row r="29">
      <c r="A29" s="6" t="s">
        <v>79</v>
      </c>
      <c r="B29" s="30">
        <f>Assumptions!B12</f>
        <v>38</v>
      </c>
    </row>
    <row r="30">
      <c r="A30" s="26" t="s">
        <v>80</v>
      </c>
      <c r="B30" s="31">
        <f>B28/B29</f>
        <v>6</v>
      </c>
    </row>
    <row r="31">
      <c r="A31" s="6" t="s">
        <v>81</v>
      </c>
      <c r="B31" s="30">
        <f>'EPS Model'!B14</f>
        <v>82</v>
      </c>
    </row>
    <row r="32">
      <c r="A32" s="26" t="s">
        <v>82</v>
      </c>
      <c r="B32" s="31">
        <f>B31+B30</f>
        <v>88</v>
      </c>
    </row>
    <row r="34">
      <c r="A34" s="4" t="s">
        <v>83</v>
      </c>
      <c r="B34" s="24"/>
      <c r="C34" s="24"/>
      <c r="D34" s="24"/>
    </row>
    <row r="35">
      <c r="A35" s="6" t="s">
        <v>84</v>
      </c>
      <c r="B35" s="30">
        <f>-Assumptions!B26*Assumptions!B27</f>
        <v>-15</v>
      </c>
      <c r="C35" s="30">
        <f>-Assumptions!B26*Assumptions!B27</f>
        <v>-15</v>
      </c>
      <c r="D35" s="30">
        <f>-Assumptions!B26*Assumptions!B27</f>
        <v>-15</v>
      </c>
    </row>
    <row r="36">
      <c r="A36" s="6" t="s">
        <v>85</v>
      </c>
      <c r="B36" s="30">
        <f>-(Assumptions!B24*Assumptions!B29)/Assumptions!B30</f>
        <v>-19</v>
      </c>
      <c r="C36" s="30">
        <f>-(Assumptions!B24*Assumptions!B29)/Assumptions!B30</f>
        <v>-19</v>
      </c>
      <c r="D36" s="30">
        <f>-(Assumptions!B24*Assumptions!B29)/Assumptions!B30</f>
        <v>-19</v>
      </c>
    </row>
    <row r="37">
      <c r="A37" s="6" t="s">
        <v>86</v>
      </c>
      <c r="B37" s="30">
        <f>-Assumptions!B24*Assumptions!B28</f>
        <v>-11.4</v>
      </c>
      <c r="C37" s="30"/>
      <c r="D37" s="30"/>
    </row>
    <row r="38">
      <c r="A38" s="33" t="s">
        <v>87</v>
      </c>
      <c r="B38" s="34">
        <f t="shared" ref="B38:D38" si="6">SUM(B35:B37)</f>
        <v>-45.4</v>
      </c>
      <c r="C38" s="34">
        <f t="shared" si="6"/>
        <v>-34</v>
      </c>
      <c r="D38" s="34">
        <f t="shared" si="6"/>
        <v>-34</v>
      </c>
    </row>
    <row r="39">
      <c r="A39" s="6" t="s">
        <v>88</v>
      </c>
      <c r="B39" s="30">
        <f>-B38*Assumptions!B10</f>
        <v>11.35</v>
      </c>
      <c r="C39" s="30">
        <f>-C38*Assumptions!B10</f>
        <v>8.5</v>
      </c>
      <c r="D39" s="30">
        <f>-D38*Assumptions!B10</f>
        <v>8.5</v>
      </c>
    </row>
    <row r="40">
      <c r="A40" s="33" t="s">
        <v>89</v>
      </c>
      <c r="B40" s="35">
        <f t="shared" ref="B40:D40" si="7">B38+B39</f>
        <v>-34.05</v>
      </c>
      <c r="C40" s="35">
        <f t="shared" si="7"/>
        <v>-25.5</v>
      </c>
      <c r="D40" s="35">
        <f t="shared" si="7"/>
        <v>-25.5</v>
      </c>
    </row>
    <row r="42">
      <c r="A42" s="4" t="s">
        <v>90</v>
      </c>
      <c r="B42" s="24"/>
      <c r="C42" s="24"/>
      <c r="D42" s="24"/>
    </row>
    <row r="43">
      <c r="A43" s="6" t="s">
        <v>91</v>
      </c>
      <c r="B43" s="36">
        <f>Assumptions!B16*(1+Assumptions!B17)</f>
        <v>131.1</v>
      </c>
      <c r="C43" s="36">
        <f>B43*(1+Assumptions!B17)</f>
        <v>180.918</v>
      </c>
      <c r="D43" s="36">
        <f>C43*(1+Assumptions!B17)</f>
        <v>249.66684</v>
      </c>
    </row>
    <row r="44">
      <c r="A44" s="6" t="s">
        <v>92</v>
      </c>
      <c r="B44" s="36">
        <f>B43*Assumptions!B18</f>
        <v>97.014</v>
      </c>
      <c r="C44" s="36">
        <f>C43*Assumptions!B18</f>
        <v>133.87932</v>
      </c>
      <c r="D44" s="36">
        <f>D43*Assumptions!B18</f>
        <v>184.7534616</v>
      </c>
    </row>
    <row r="45">
      <c r="A45" s="6" t="s">
        <v>93</v>
      </c>
      <c r="B45" s="37">
        <f>-B43*Assumptions!B19</f>
        <v>-70.794</v>
      </c>
      <c r="C45" s="36">
        <f>-C43*Assumptions!B19</f>
        <v>-97.69572</v>
      </c>
      <c r="D45" s="36">
        <f>-D43*Assumptions!B19</f>
        <v>-134.8200936</v>
      </c>
    </row>
    <row r="46">
      <c r="A46" s="6" t="s">
        <v>94</v>
      </c>
      <c r="B46" s="36">
        <f>-Assumptions!B20</f>
        <v>-5</v>
      </c>
      <c r="C46" s="36">
        <f>-Assumptions!B20</f>
        <v>-5</v>
      </c>
      <c r="D46" s="36">
        <f>-Assumptions!B20</f>
        <v>-5</v>
      </c>
    </row>
    <row r="47">
      <c r="A47" s="6" t="s">
        <v>95</v>
      </c>
      <c r="B47" s="36">
        <f>Assumptions!B34*Assumptions!B35</f>
        <v>7</v>
      </c>
      <c r="C47" s="36">
        <f>Assumptions!B34*Assumptions!B36</f>
        <v>11.2</v>
      </c>
      <c r="D47" s="36">
        <f>Assumptions!B34*Assumptions!B37</f>
        <v>14</v>
      </c>
    </row>
    <row r="48">
      <c r="A48" s="6" t="s">
        <v>96</v>
      </c>
      <c r="B48" s="36">
        <f>-Assumptions!B38</f>
        <v>-22</v>
      </c>
      <c r="C48" s="37">
        <v>0.0</v>
      </c>
      <c r="D48" s="37">
        <v>0.0</v>
      </c>
    </row>
    <row r="49">
      <c r="A49" s="6" t="s">
        <v>97</v>
      </c>
      <c r="B49" s="36">
        <f t="shared" ref="B49:D49" si="8">SUM(B44:B48)</f>
        <v>6.22</v>
      </c>
      <c r="C49" s="36">
        <f t="shared" si="8"/>
        <v>42.3836</v>
      </c>
      <c r="D49" s="36">
        <f t="shared" si="8"/>
        <v>58.933368</v>
      </c>
    </row>
    <row r="50">
      <c r="A50" s="6" t="s">
        <v>98</v>
      </c>
      <c r="B50" s="36">
        <f>B49*(-Assumptions!B10)</f>
        <v>-1.555</v>
      </c>
      <c r="C50" s="36">
        <f>C49*(-Assumptions!B10)</f>
        <v>-10.5959</v>
      </c>
      <c r="D50" s="36">
        <f>D49*(-Assumptions!B10)</f>
        <v>-14.733342</v>
      </c>
    </row>
    <row r="51">
      <c r="A51" s="28" t="s">
        <v>99</v>
      </c>
      <c r="B51" s="38">
        <f t="shared" ref="B51:D51" si="9">B49+B50</f>
        <v>4.665</v>
      </c>
      <c r="C51" s="38">
        <f t="shared" si="9"/>
        <v>31.7877</v>
      </c>
      <c r="D51" s="38">
        <f t="shared" si="9"/>
        <v>44.200026</v>
      </c>
    </row>
    <row r="53">
      <c r="A53" s="4" t="s">
        <v>100</v>
      </c>
      <c r="B53" s="24"/>
      <c r="C53" s="24"/>
      <c r="D53" s="24"/>
    </row>
    <row r="54">
      <c r="A54" s="6" t="s">
        <v>101</v>
      </c>
      <c r="B54" s="39">
        <f t="shared" ref="B54:D54" si="10">B13</f>
        <v>65.16</v>
      </c>
      <c r="C54" s="39">
        <f t="shared" si="10"/>
        <v>69.318</v>
      </c>
      <c r="D54" s="39">
        <f t="shared" si="10"/>
        <v>73.6839</v>
      </c>
    </row>
    <row r="55">
      <c r="A55" s="40" t="s">
        <v>102</v>
      </c>
      <c r="B55" s="41">
        <f t="shared" ref="B55:D55" si="11">B51</f>
        <v>4.665</v>
      </c>
      <c r="C55" s="41">
        <f t="shared" si="11"/>
        <v>31.7877</v>
      </c>
      <c r="D55" s="41">
        <f t="shared" si="11"/>
        <v>44.200026</v>
      </c>
    </row>
    <row r="56">
      <c r="A56" s="6" t="s">
        <v>103</v>
      </c>
      <c r="B56" s="39">
        <f t="shared" ref="B56:D56" si="12">B40</f>
        <v>-34.05</v>
      </c>
      <c r="C56" s="39">
        <f t="shared" si="12"/>
        <v>-25.5</v>
      </c>
      <c r="D56" s="39">
        <f t="shared" si="12"/>
        <v>-25.5</v>
      </c>
    </row>
    <row r="57">
      <c r="A57" s="26" t="s">
        <v>104</v>
      </c>
      <c r="B57" s="42">
        <f t="shared" ref="B57:D57" si="13">SUM(B54:B56)</f>
        <v>35.775</v>
      </c>
      <c r="C57" s="42">
        <f t="shared" si="13"/>
        <v>75.6057</v>
      </c>
      <c r="D57" s="42">
        <f t="shared" si="13"/>
        <v>92.383926</v>
      </c>
    </row>
    <row r="58">
      <c r="A58" s="3" t="s">
        <v>105</v>
      </c>
      <c r="B58" s="43">
        <f>B32</f>
        <v>88</v>
      </c>
      <c r="C58" s="43">
        <f>B32</f>
        <v>88</v>
      </c>
      <c r="D58" s="43">
        <f>B32</f>
        <v>88</v>
      </c>
    </row>
    <row r="59">
      <c r="A59" s="26" t="s">
        <v>106</v>
      </c>
      <c r="B59" s="42">
        <f t="shared" ref="B59:D59" si="14">B57/B58</f>
        <v>0.4065340909</v>
      </c>
      <c r="C59" s="42">
        <f t="shared" si="14"/>
        <v>0.8591556818</v>
      </c>
      <c r="D59" s="42">
        <f t="shared" si="14"/>
        <v>1.049817341</v>
      </c>
    </row>
    <row r="60">
      <c r="A60" s="6" t="s">
        <v>107</v>
      </c>
      <c r="B60" s="39">
        <f t="shared" ref="B60:D60" si="15">B15</f>
        <v>0.7946341463</v>
      </c>
      <c r="C60" s="39">
        <f t="shared" si="15"/>
        <v>0.8453414634</v>
      </c>
      <c r="D60" s="39">
        <f t="shared" si="15"/>
        <v>0.8985841463</v>
      </c>
    </row>
    <row r="61">
      <c r="A61" s="26" t="s">
        <v>108</v>
      </c>
      <c r="B61" s="42">
        <f t="shared" ref="B61:D61" si="16">B59-B60</f>
        <v>-0.3881000554</v>
      </c>
      <c r="C61" s="42">
        <f t="shared" si="16"/>
        <v>0.0138142184</v>
      </c>
      <c r="D61" s="42">
        <f t="shared" si="16"/>
        <v>0.1512331946</v>
      </c>
    </row>
    <row r="62">
      <c r="A62" s="26" t="s">
        <v>109</v>
      </c>
      <c r="B62" s="44">
        <f t="shared" ref="B62:D62" si="17">B61/B60</f>
        <v>-0.4884009292</v>
      </c>
      <c r="C62" s="44">
        <f t="shared" si="17"/>
        <v>0.01634158385</v>
      </c>
      <c r="D62" s="44">
        <f t="shared" si="17"/>
        <v>0.1683016501</v>
      </c>
    </row>
  </sheetData>
  <mergeCells count="8">
    <mergeCell ref="A1:D1"/>
    <mergeCell ref="A2:D2"/>
    <mergeCell ref="A5:D5"/>
    <mergeCell ref="A17:D17"/>
    <mergeCell ref="A27:D27"/>
    <mergeCell ref="A34:D34"/>
    <mergeCell ref="A42:D42"/>
    <mergeCell ref="A53:D5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1" t="s">
        <v>110</v>
      </c>
    </row>
    <row r="2">
      <c r="A2" s="2" t="s">
        <v>111</v>
      </c>
    </row>
    <row r="5">
      <c r="A5" s="6" t="s">
        <v>112</v>
      </c>
      <c r="B5" s="45">
        <v>0.0</v>
      </c>
      <c r="C5" s="45">
        <v>0.25</v>
      </c>
      <c r="D5" s="45">
        <v>0.5</v>
      </c>
      <c r="E5" s="45">
        <v>0.75</v>
      </c>
      <c r="F5" s="45">
        <v>1.0</v>
      </c>
    </row>
    <row r="6">
      <c r="A6" s="46">
        <v>490.0</v>
      </c>
      <c r="B6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B5))*(1-Assumptions!B10))+(Assumptions!B33*B5*(1-Assumptions!B10))+(((-Assumptions!B26*Assumptions!B27)+(-((A6*Assumptions!B29)/Assumptions!B30)))+(-((-Assumptions!B26*Assumptions!B27)+(-((A6*Assumptions!B29)/Assumptions!B30)))*Assumptions!B10)))/(Assumptions!B11+(A6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0.07105867931</v>
      </c>
      <c r="C6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C5))*(1-Assumptions!B10))+(Assumptions!B33*C5*(1-Assumptions!B10))+(((-Assumptions!B26*Assumptions!B27)+(-((A6*Assumptions!B29)/Assumptions!B30)))+(-((-Assumptions!B26*Assumptions!B27)+(-((A6*Assumptions!B29)/Assumptions!B30)))*Assumptions!B10)))/(Assumptions!B11+(A6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0.2051262733</v>
      </c>
      <c r="D6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D5))*(1-Assumptions!B10))+(Assumptions!B33*D5*(1-Assumptions!B10))+(((-Assumptions!B26*Assumptions!B27)+(-((A6*Assumptions!B29)/Assumptions!B30)))+(-((-Assumptions!B26*Assumptions!B27)+(-((A6*Assumptions!B29)/Assumptions!B30)))*Assumptions!B10)))/(Assumptions!B11+(A6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0.3391938673</v>
      </c>
      <c r="E6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E5))*(1-Assumptions!B10))+(Assumptions!B33*E5*(1-Assumptions!B10))+(((-Assumptions!B26*Assumptions!B27)+(-((A6*Assumptions!B29)/Assumptions!B30)))+(-((-Assumptions!B26*Assumptions!B27)+(-((A6*Assumptions!B29)/Assumptions!B30)))*Assumptions!B10)))/(Assumptions!B11+(A6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0.4732614613</v>
      </c>
      <c r="F6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F5))*(1-Assumptions!B10))+(Assumptions!B33*F5*(1-Assumptions!B10))+(((-Assumptions!B26*Assumptions!B27)+(-((A6*Assumptions!B29)/Assumptions!B30)))+(-((-Assumptions!B26*Assumptions!B27)+(-((A6*Assumptions!B29)/Assumptions!B30)))*Assumptions!B10)))/(Assumptions!B11+(A6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0.6073290553</v>
      </c>
    </row>
    <row r="7">
      <c r="A7" s="46">
        <v>520.0</v>
      </c>
      <c r="B7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B5))*(1-Assumptions!B10))+(Assumptions!B33*B5*(1-Assumptions!B10))+(((-Assumptions!B26*Assumptions!B27)+(-((A7*Assumptions!B29)/Assumptions!B30)))+(-((-Assumptions!B26*Assumptions!B27)+(-((A7*Assumptions!B29)/Assumptions!B30)))*Assumptions!B10)))/(Assumptions!B11+(A7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0.05765035609</v>
      </c>
      <c r="C7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C5))*(1-Assumptions!B10))+(Assumptions!B33*C5*(1-Assumptions!B10))+(((-Assumptions!B26*Assumptions!B27)+(-((A7*Assumptions!B29)/Assumptions!B30)))+(-((-Assumptions!B26*Assumptions!B27)+(-((A7*Assumptions!B29)/Assumptions!B30)))*Assumptions!B10)))/(Assumptions!B11+(A7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0.1912339515</v>
      </c>
      <c r="D7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D5))*(1-Assumptions!B10))+(Assumptions!B33*D5*(1-Assumptions!B10))+(((-Assumptions!B26*Assumptions!B27)+(-((A7*Assumptions!B29)/Assumptions!B30)))+(-((-Assumptions!B26*Assumptions!B27)+(-((A7*Assumptions!B29)/Assumptions!B30)))*Assumptions!B10)))/(Assumptions!B11+(A7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0.324817547</v>
      </c>
      <c r="E7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E5))*(1-Assumptions!B10))+(Assumptions!B33*E5*(1-Assumptions!B10))+(((-Assumptions!B26*Assumptions!B27)+(-((A7*Assumptions!B29)/Assumptions!B30)))+(-((-Assumptions!B26*Assumptions!B27)+(-((A7*Assumptions!B29)/Assumptions!B30)))*Assumptions!B10)))/(Assumptions!B11+(A7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0.4584011424</v>
      </c>
      <c r="F7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F5))*(1-Assumptions!B10))+(Assumptions!B33*F5*(1-Assumptions!B10))+(((-Assumptions!B26*Assumptions!B27)+(-((A7*Assumptions!B29)/Assumptions!B30)))+(-((-Assumptions!B26*Assumptions!B27)+(-((A7*Assumptions!B29)/Assumptions!B30)))*Assumptions!B10)))/(Assumptions!B11+(A7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0.5919847379</v>
      </c>
    </row>
    <row r="8">
      <c r="A8" s="46">
        <v>550.0</v>
      </c>
      <c r="B8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B5))*(1-Assumptions!B10))+(Assumptions!B33*B5*(1-Assumptions!B10))+(((-Assumptions!B26*Assumptions!B27)+(-((A8*Assumptions!B29)/Assumptions!B30)))+(-((-Assumptions!B26*Assumptions!B27)+(-((A8*Assumptions!B29)/Assumptions!B30)))*Assumptions!B10)))/(Assumptions!B11+(A8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0.04433849563</v>
      </c>
      <c r="C8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C5))*(1-Assumptions!B10))+(Assumptions!B33*C5*(1-Assumptions!B10))+(((-Assumptions!B26*Assumptions!B27)+(-((A8*Assumptions!B29)/Assumptions!B30)))+(-((-Assumptions!B26*Assumptions!B27)+(-((A8*Assumptions!B29)/Assumptions!B30)))*Assumptions!B10)))/(Assumptions!B11+(A8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0.1774415746</v>
      </c>
      <c r="D8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D5))*(1-Assumptions!B10))+(Assumptions!B33*D5*(1-Assumptions!B10))+(((-Assumptions!B26*Assumptions!B27)+(-((A8*Assumptions!B29)/Assumptions!B30)))+(-((-Assumptions!B26*Assumptions!B27)+(-((A8*Assumptions!B29)/Assumptions!B30)))*Assumptions!B10)))/(Assumptions!B11+(A8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0.3105446535</v>
      </c>
      <c r="E8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E5))*(1-Assumptions!B10))+(Assumptions!B33*E5*(1-Assumptions!B10))+(((-Assumptions!B26*Assumptions!B27)+(-((A8*Assumptions!B29)/Assumptions!B30)))+(-((-Assumptions!B26*Assumptions!B27)+(-((A8*Assumptions!B29)/Assumptions!B30)))*Assumptions!B10)))/(Assumptions!B11+(A8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0.4436477324</v>
      </c>
      <c r="F8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F5))*(1-Assumptions!B10))+(Assumptions!B33*F5*(1-Assumptions!B10))+(((-Assumptions!B26*Assumptions!B27)+(-((A8*Assumptions!B29)/Assumptions!B30)))+(-((-Assumptions!B26*Assumptions!B27)+(-((A8*Assumptions!B29)/Assumptions!B30)))*Assumptions!B10)))/(Assumptions!B11+(A8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0.5767508113</v>
      </c>
    </row>
    <row r="9">
      <c r="A9" s="46">
        <v>570.0</v>
      </c>
      <c r="B9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B5))*(1-Assumptions!B10))+(Assumptions!B33*B5*(1-Assumptions!B10))+(((-Assumptions!B26*Assumptions!B27)+(-((A9*Assumptions!B29)/Assumptions!B30)))+(-((-Assumptions!B26*Assumptions!B27)+(-((A9*Assumptions!B29)/Assumptions!B30)))*Assumptions!B10)))/(Assumptions!B11+(A9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0.03551699958</v>
      </c>
      <c r="C9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C5))*(1-Assumptions!B10))+(Assumptions!B33*C5*(1-Assumptions!B10))+(((-Assumptions!B26*Assumptions!B27)+(-((A9*Assumptions!B29)/Assumptions!B30)))+(-((-Assumptions!B26*Assumptions!B27)+(-((A9*Assumptions!B29)/Assumptions!B30)))*Assumptions!B10)))/(Assumptions!B11+(A9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0.1683016501</v>
      </c>
      <c r="D9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D5))*(1-Assumptions!B10))+(Assumptions!B33*D5*(1-Assumptions!B10))+(((-Assumptions!B26*Assumptions!B27)+(-((A9*Assumptions!B29)/Assumptions!B30)))+(-((-Assumptions!B26*Assumptions!B27)+(-((A9*Assumptions!B29)/Assumptions!B30)))*Assumptions!B10)))/(Assumptions!B11+(A9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0.3010863006</v>
      </c>
      <c r="E9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E5))*(1-Assumptions!B10))+(Assumptions!B33*E5*(1-Assumptions!B10))+(((-Assumptions!B26*Assumptions!B27)+(-((A9*Assumptions!B29)/Assumptions!B30)))+(-((-Assumptions!B26*Assumptions!B27)+(-((A9*Assumptions!B29)/Assumptions!B30)))*Assumptions!B10)))/(Assumptions!B11+(A9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0.4338709511</v>
      </c>
      <c r="F9" s="48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F5))*(1-Assumptions!B10))+(Assumptions!B33*F5*(1-Assumptions!B10))+(((-Assumptions!B26*Assumptions!B27)+(-((A9*Assumptions!B29)/Assumptions!B30)))+(-((-Assumptions!B26*Assumptions!B27)+(-((A9*Assumptions!B29)/Assumptions!B30)))*Assumptions!B10)))/(Assumptions!B11+(A9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0.5666556016</v>
      </c>
    </row>
    <row r="10">
      <c r="A10" s="46">
        <v>600.0</v>
      </c>
      <c r="B10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B5))*(1-Assumptions!B10))+(Assumptions!B33*B5*(1-Assumptions!B10))+(((-Assumptions!B26*Assumptions!B27)+(-((A10*Assumptions!B29)/Assumptions!B30)))+(-((-Assumptions!B26*Assumptions!B27)+(-((A10*Assumptions!B29)/Assumptions!B30)))*Assumptions!B10)))/(Assumptions!B11+(A10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0.02236361274</v>
      </c>
      <c r="C10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C5))*(1-Assumptions!B10))+(Assumptions!B33*C5*(1-Assumptions!B10))+(((-Assumptions!B26*Assumptions!B27)+(-((A10*Assumptions!B29)/Assumptions!B30)))+(-((-Assumptions!B26*Assumptions!B27)+(-((A10*Assumptions!B29)/Assumptions!B30)))*Assumptions!B10)))/(Assumptions!B11+(A10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0.1546734671</v>
      </c>
      <c r="D10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D5))*(1-Assumptions!B10))+(Assumptions!B33*D5*(1-Assumptions!B10))+(((-Assumptions!B26*Assumptions!B27)+(-((A10*Assumptions!B29)/Assumptions!B30)))+(-((-Assumptions!B26*Assumptions!B27)+(-((A10*Assumptions!B29)/Assumptions!B30)))*Assumptions!B10)))/(Assumptions!B11+(A10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0.2869833215</v>
      </c>
      <c r="E10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E5))*(1-Assumptions!B10))+(Assumptions!B33*E5*(1-Assumptions!B10))+(((-Assumptions!B26*Assumptions!B27)+(-((A10*Assumptions!B29)/Assumptions!B30)))+(-((-Assumptions!B26*Assumptions!B27)+(-((A10*Assumptions!B29)/Assumptions!B30)))*Assumptions!B10)))/(Assumptions!B11+(A10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0.4192931759</v>
      </c>
      <c r="F10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F5))*(1-Assumptions!B10))+(Assumptions!B33*F5*(1-Assumptions!B10))+(((-Assumptions!B26*Assumptions!B27)+(-((A10*Assumptions!B29)/Assumptions!B30)))+(-((-Assumptions!B26*Assumptions!B27)+(-((A10*Assumptions!B29)/Assumptions!B30)))*Assumptions!B10)))/(Assumptions!B11+(A10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0.5516030302</v>
      </c>
    </row>
    <row r="11">
      <c r="A11" s="46">
        <v>630.0</v>
      </c>
      <c r="B11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B5))*(1-Assumptions!B10))+(Assumptions!B33*B5*(1-Assumptions!B10))+(((-Assumptions!B26*Assumptions!B27)+(-((A11*Assumptions!B29)/Assumptions!B30)))+(-((-Assumptions!B26*Assumptions!B27)+(-((A11*Assumptions!B29)/Assumptions!B30)))*Assumptions!B10)))/(Assumptions!B11+(A11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0.009303955502</v>
      </c>
      <c r="C11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C5))*(1-Assumptions!B10))+(Assumptions!B33*C5*(1-Assumptions!B10))+(((-Assumptions!B26*Assumptions!B27)+(-((A11*Assumptions!B29)/Assumptions!B30)))+(-((-Assumptions!B26*Assumptions!B27)+(-((A11*Assumptions!B29)/Assumptions!B30)))*Assumptions!B10)))/(Assumptions!B11+(A11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0.1411423971</v>
      </c>
      <c r="D11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D5))*(1-Assumptions!B10))+(Assumptions!B33*D5*(1-Assumptions!B10))+(((-Assumptions!B26*Assumptions!B27)+(-((A11*Assumptions!B29)/Assumptions!B30)))+(-((-Assumptions!B26*Assumptions!B27)+(-((A11*Assumptions!B29)/Assumptions!B30)))*Assumptions!B10)))/(Assumptions!B11+(A11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0.2729808387</v>
      </c>
      <c r="E11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E5))*(1-Assumptions!B10))+(Assumptions!B33*E5*(1-Assumptions!B10))+(((-Assumptions!B26*Assumptions!B27)+(-((A11*Assumptions!B29)/Assumptions!B30)))+(-((-Assumptions!B26*Assumptions!B27)+(-((A11*Assumptions!B29)/Assumptions!B30)))*Assumptions!B10)))/(Assumptions!B11+(A11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0.4048192803</v>
      </c>
      <c r="F11" s="47">
        <f>(((((((Assumptions!B5*(1+Assumptions!B13)^3)*Assumptions!B6)-Assumptions!B7-Assumptions!B8*Assumptions!B9)*(1-Assumptions!B10))+((((Assumptions!B16*(1+Assumptions!B17)^3)*Assumptions!B18)+(-(Assumptions!B16*(1+Assumptions!B17)^3)*Assumptions!B19)-Assumptions!B20+(Assumptions!B34*F5))*(1-Assumptions!B10))+(Assumptions!B33*F5*(1-Assumptions!B10))+(((-Assumptions!B26*Assumptions!B27)+(-((A11*Assumptions!B29)/Assumptions!B30)))+(-((-Assumptions!B26*Assumptions!B27)+(-((A11*Assumptions!B29)/Assumptions!B30)))*Assumptions!B10)))/(Assumptions!B11+(A11*Assumptions!B25/Assumptions!B12)))-(((((Assumptions!B5*(1+Assumptions!B13)^3)*Assumptions!B6)-Assumptions!B7-Assumptions!B8*Assumptions!B9)*(1-Assumptions!B10))/Assumptions!B11))/(((((Assumptions!B5*(1+Assumptions!B13)^3)*Assumptions!B6)-Assumptions!B7-Assumptions!B8*Assumptions!B9)*(1-Assumptions!B10))/Assumptions!B11)
</f>
        <v>0.5366577219</v>
      </c>
    </row>
    <row r="13">
      <c r="A13" s="49" t="s">
        <v>113</v>
      </c>
    </row>
    <row r="14">
      <c r="A14" s="6" t="s">
        <v>114</v>
      </c>
    </row>
    <row r="16">
      <c r="A16" s="3" t="s">
        <v>115</v>
      </c>
    </row>
    <row r="17">
      <c r="A17" s="6" t="s">
        <v>112</v>
      </c>
      <c r="B17" s="45">
        <v>0.0</v>
      </c>
      <c r="C17" s="45">
        <v>0.25</v>
      </c>
      <c r="D17" s="45">
        <v>0.5</v>
      </c>
      <c r="E17" s="45">
        <v>0.75</v>
      </c>
      <c r="F17" s="45">
        <v>1.0</v>
      </c>
    </row>
    <row r="18">
      <c r="A18" s="46">
        <v>490.0</v>
      </c>
      <c r="B18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/Assumptions!B37)+(-Assumptions!B38))*(1-Assumptions!B10))+(Assumptions!B33*Assumptions!B35*0/Assumptions!B37*(1-Assumptions!B10))+(((-Assumptions!B26*Assumptions!B27)+(-((490*Assumptions!B29)/Assumptions!B30))+(-490*Assumptions!B28))+(-((-Assumptions!B26*Assumptions!B27)+(-((490*Assumptions!B29)/Assumptions!B30))+(-490*Assumptions!B28))*Assumptions!B10)))/(Assumptions!B11+(490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-0.5130571384</v>
      </c>
      <c r="C18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0.25/Assumptions!B37)+(-Assumptions!B38))*(1-Assumptions!B10))+(Assumptions!B33*Assumptions!B35*0.25/Assumptions!B37*(1-Assumptions!B10))+(((-Assumptions!B26*Assumptions!B27)+(-((490*Assumptions!B29)/Assumptions!B30))+(-490*Assumptions!B28))+(-((-Assumptions!B26*Assumptions!B27)+(-((490*Assumptions!B29)/Assumptions!B30))+(-490*Assumptions!B28))*Assumptions!B10)))/(Assumptions!B11+(490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-0.4372543208</v>
      </c>
      <c r="D18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0.5/Assumptions!B37)+(-Assumptions!B38))*(1-Assumptions!B10))+(Assumptions!B33*Assumptions!B35*0.5/Assumptions!B37*(1-Assumptions!B10))+(((-Assumptions!B26*Assumptions!B27)+(-((490*Assumptions!B29)/Assumptions!B30))+(-490*Assumptions!B28))+(-((-Assumptions!B26*Assumptions!B27)+(-((490*Assumptions!B29)/Assumptions!B30))+(-490*Assumptions!B28))*Assumptions!B10)))/(Assumptions!B11+(490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-0.3614515032</v>
      </c>
      <c r="E18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0.75/Assumptions!B37)+(-Assumptions!B38))*(1-Assumptions!B10))+(Assumptions!B33*Assumptions!B35*0.75/Assumptions!B37*(1-Assumptions!B10))+(((-Assumptions!B26*Assumptions!B27)+(-((490*Assumptions!B29)/Assumptions!B30))+(-490*Assumptions!B28))+(-((-Assumptions!B26*Assumptions!B27)+(-((490*Assumptions!B29)/Assumptions!B30))+(-490*Assumptions!B28))*Assumptions!B10)))/(Assumptions!B11+(490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-0.2856486857</v>
      </c>
      <c r="F18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1/Assumptions!B37)+(-Assumptions!B38))*(1-Assumptions!B10))+(Assumptions!B33*Assumptions!B35*1/Assumptions!B37*(1-Assumptions!B10))+(((-Assumptions!B26*Assumptions!B27)+(-((490*Assumptions!B29)/Assumptions!B30))+(-490*Assumptions!B28))+(-((-Assumptions!B26*Assumptions!B27)+(-((490*Assumptions!B29)/Assumptions!B30))+(-490*Assumptions!B28))*Assumptions!B10)))/(Assumptions!B11+(490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-0.2098458681</v>
      </c>
    </row>
    <row r="19">
      <c r="A19" s="46">
        <v>520.0</v>
      </c>
      <c r="B19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/Assumptions!B37)+(-Assumptions!B38))*(1-Assumptions!B10))+(Assumptions!B33*Assumptions!B35*0/Assumptions!B37*(1-Assumptions!B10))+(((-Assumptions!B26*Assumptions!B27)+(-((520*Assumptions!B29)/Assumptions!B30))+(-520*Assumptions!B28))+(-((-Assumptions!B26*Assumptions!B27)+(-((520*Assumptions!B29)/Assumptions!B30))+(-520*Assumptions!B28))*Assumptions!B10)))/(Assumptions!B11+(520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-0.5320788632</v>
      </c>
      <c r="C19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0.25/Assumptions!B37)+(-Assumptions!B38))*(1-Assumptions!B10))+(Assumptions!B33*Assumptions!B35*0.25/Assumptions!B37*(1-Assumptions!B10))+(((-Assumptions!B26*Assumptions!B27)+(-((520*Assumptions!B29)/Assumptions!B30))+(-520*Assumptions!B28))+(-((-Assumptions!B26*Assumptions!B27)+(-((520*Assumptions!B29)/Assumptions!B30))+(-520*Assumptions!B28))*Assumptions!B10)))/(Assumptions!B11+(520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-0.456549702</v>
      </c>
      <c r="D19" s="51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0.5/Assumptions!B37)+(-Assumptions!B38))*(1-Assumptions!B10))+(Assumptions!B33*Assumptions!B35*0.5/Assumptions!B37*(1-Assumptions!B10))+(((-Assumptions!B26*Assumptions!B27)+(-((520*Assumptions!B29)/Assumptions!B30))+(-520*Assumptions!B28))+(-((-Assumptions!B26*Assumptions!B27)+(-((520*Assumptions!B29)/Assumptions!B30))+(-520*Assumptions!B28))*Assumptions!B10)))/(Assumptions!B11+(520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-0.3810205408</v>
      </c>
      <c r="E19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0.75/Assumptions!B37)+(-Assumptions!B38))*(1-Assumptions!B10))+(Assumptions!B33*Assumptions!B35*0.75/Assumptions!B37*(1-Assumptions!B10))+(((-Assumptions!B26*Assumptions!B27)+(-((520*Assumptions!B29)/Assumptions!B30))+(-520*Assumptions!B28))+(-((-Assumptions!B26*Assumptions!B27)+(-((520*Assumptions!B29)/Assumptions!B30))+(-520*Assumptions!B28))*Assumptions!B10)))/(Assumptions!B11+(520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-0.3054913795</v>
      </c>
      <c r="F19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1/Assumptions!B37)+(-Assumptions!B38))*(1-Assumptions!B10))+(Assumptions!B33*Assumptions!B35*1/Assumptions!B37*(1-Assumptions!B10))+(((-Assumptions!B26*Assumptions!B27)+(-((520*Assumptions!B29)/Assumptions!B30))+(-520*Assumptions!B28))+(-((-Assumptions!B26*Assumptions!B27)+(-((520*Assumptions!B29)/Assumptions!B30))+(-520*Assumptions!B28))*Assumptions!B10)))/(Assumptions!B11+(520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-0.2299622183</v>
      </c>
    </row>
    <row r="20">
      <c r="A20" s="46">
        <v>550.0</v>
      </c>
      <c r="B20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/Assumptions!B37)+(-Assumptions!B38))*(1-Assumptions!B10))+(Assumptions!B33*Assumptions!B35*0/Assumptions!B37*(1-Assumptions!B10))+(((-Assumptions!B26*Assumptions!B27)+(-((550*Assumptions!B29)/Assumptions!B30))+(-550*Assumptions!B28))+(-((-Assumptions!B26*Assumptions!B27)+(-((550*Assumptions!B29)/Assumptions!B30))+(-550*Assumptions!B28))*Assumptions!B10)))/(Assumptions!B11+(550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-0.550963741</v>
      </c>
      <c r="C20" s="51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0.25/Assumptions!B37)+(-Assumptions!B38))*(1-Assumptions!B10))+(Assumptions!B33*Assumptions!B35*0.25/Assumptions!B37*(1-Assumptions!B10))+(((-Assumptions!B26*Assumptions!B27)+(-((550*Assumptions!B29)/Assumptions!B30))+(-550*Assumptions!B28))+(-((-Assumptions!B26*Assumptions!B27)+(-((550*Assumptions!B29)/Assumptions!B30))+(-550*Assumptions!B28))*Assumptions!B10)))/(Assumptions!B11+(550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-0.4757062674</v>
      </c>
      <c r="D20" s="51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0.5/Assumptions!B37)+(-Assumptions!B38))*(1-Assumptions!B10))+(Assumptions!B33*Assumptions!B35*0.5/Assumptions!B37*(1-Assumptions!B10))+(((-Assumptions!B26*Assumptions!B27)+(-((550*Assumptions!B29)/Assumptions!B30))+(-550*Assumptions!B28))+(-((-Assumptions!B26*Assumptions!B27)+(-((550*Assumptions!B29)/Assumptions!B30))+(-550*Assumptions!B28))*Assumptions!B10)))/(Assumptions!B11+(550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-0.4004487938</v>
      </c>
      <c r="E20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0.75/Assumptions!B37)+(-Assumptions!B38))*(1-Assumptions!B10))+(Assumptions!B33*Assumptions!B35*0.75/Assumptions!B37*(1-Assumptions!B10))+(((-Assumptions!B26*Assumptions!B27)+(-((550*Assumptions!B29)/Assumptions!B30))+(-550*Assumptions!B28))+(-((-Assumptions!B26*Assumptions!B27)+(-((550*Assumptions!B29)/Assumptions!B30))+(-550*Assumptions!B28))*Assumptions!B10)))/(Assumptions!B11+(550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-0.3251913202</v>
      </c>
      <c r="F20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1/Assumptions!B37)+(-Assumptions!B38))*(1-Assumptions!B10))+(Assumptions!B33*Assumptions!B35*1/Assumptions!B37*(1-Assumptions!B10))+(((-Assumptions!B26*Assumptions!B27)+(-((550*Assumptions!B29)/Assumptions!B30))+(-550*Assumptions!B28))+(-((-Assumptions!B26*Assumptions!B27)+(-((550*Assumptions!B29)/Assumptions!B30))+(-550*Assumptions!B28))*Assumptions!B10)))/(Assumptions!B11+(550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-0.2499338467</v>
      </c>
    </row>
    <row r="21">
      <c r="A21" s="46">
        <v>570.0</v>
      </c>
      <c r="B21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/Assumptions!B37)+(-Assumptions!B38))*(1-Assumptions!B10))+(Assumptions!B33*Assumptions!B35*0/Assumptions!B37*(1-Assumptions!B10))+(((-Assumptions!B26*Assumptions!B27)+(-((570*Assumptions!B29)/Assumptions!B30))+(-570*Assumptions!B28))+(-((-Assumptions!B26*Assumptions!B27)+(-((570*Assumptions!B29)/Assumptions!B30))+(-570*Assumptions!B28))*Assumptions!B10)))/(Assumptions!B11+(570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
</f>
        <v>-0.563478361</v>
      </c>
      <c r="C21" s="51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0.25/Assumptions!B37)+(-Assumptions!B38))*(1-Assumptions!B10))+(Assumptions!B33*Assumptions!B35*0.25/Assumptions!B37*(1-Assumptions!B10))+(((-Assumptions!B26*Assumptions!B27)+(-((570*Assumptions!B29)/Assumptions!B30))+(-570*Assumptions!B28))+(-((-Assumptions!B26*Assumptions!B27)+(-((570*Assumptions!B29)/Assumptions!B30))+(-570*Assumptions!B28))*Assumptions!B10)))/(Assumptions!B11+(570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-0.4884009292</v>
      </c>
      <c r="D21" s="51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0.5/Assumptions!B37)+(-Assumptions!B38))*(1-Assumptions!B10))+(Assumptions!B33*Assumptions!B35*0.5/Assumptions!B37*(1-Assumptions!B10))+(((-Assumptions!B26*Assumptions!B27)+(-((570*Assumptions!B29)/Assumptions!B30))+(-570*Assumptions!B28))+(-((-Assumptions!B26*Assumptions!B27)+(-((570*Assumptions!B29)/Assumptions!B30))+(-570*Assumptions!B28))*Assumptions!B10)))/(Assumptions!B11+(570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-0.4133234974</v>
      </c>
      <c r="E21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0.75/Assumptions!B37)+(-Assumptions!B38))*(1-Assumptions!B10))+(Assumptions!B33*Assumptions!B35*0.75/Assumptions!B37*(1-Assumptions!B10))+(((-Assumptions!B26*Assumptions!B27)+(-((570*Assumptions!B29)/Assumptions!B30))+(-570*Assumptions!B28))+(-((-Assumptions!B26*Assumptions!B27)+(-((570*Assumptions!B29)/Assumptions!B30))+(-570*Assumptions!B28))*Assumptions!B10)))/(Assumptions!B11+(570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-0.3382460656</v>
      </c>
      <c r="F21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1/Assumptions!B37)+(-Assumptions!B38))*(1-Assumptions!B10))+(Assumptions!B33*Assumptions!B35*1/Assumptions!B37*(1-Assumptions!B10))+(((-Assumptions!B26*Assumptions!B27)+(-((570*Assumptions!B29)/Assumptions!B30))+(-570*Assumptions!B28))+(-((-Assumptions!B26*Assumptions!B27)+(-((570*Assumptions!B29)/Assumptions!B30))+(-570*Assumptions!B28))*Assumptions!B10)))/(Assumptions!B11+(570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-0.2631686339</v>
      </c>
    </row>
    <row r="22">
      <c r="A22" s="46">
        <v>600.0</v>
      </c>
      <c r="B22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/Assumptions!B37)+(-Assumptions!B38))*(1-Assumptions!B10))+(Assumptions!B33*Assumptions!B35*0/Assumptions!B37*(1-Assumptions!B10))+(((-Assumptions!B26*Assumptions!B27)+(-((600*Assumptions!B29)/Assumptions!B30))+(-600*Assumptions!B28))+(-((-Assumptions!B26*Assumptions!B27)+(-((600*Assumptions!B29)/Assumptions!B30))+(-600*Assumptions!B28))*Assumptions!B10)))/(Assumptions!B11+(600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-0.5821384201</v>
      </c>
      <c r="C22" s="51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0.25/Assumptions!B37)+(-Assumptions!B38))*(1-Assumptions!B10))+(Assumptions!B33*Assumptions!B35*0.25/Assumptions!B37*(1-Assumptions!B10))+(((-Assumptions!B26*Assumptions!B27)+(-((600*Assumptions!B29)/Assumptions!B30))+(-600*Assumptions!B28))+(-((-Assumptions!B26*Assumptions!B27)+(-((600*Assumptions!B29)/Assumptions!B30))+(-600*Assumptions!B28))*Assumptions!B10)))/(Assumptions!B11+(600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-0.5073294416</v>
      </c>
      <c r="D22" s="51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0.5/Assumptions!B37)+(-Assumptions!B38))*(1-Assumptions!B10))+(Assumptions!B33*Assumptions!B35*0.5/Assumptions!B37*(1-Assumptions!B10))+(((-Assumptions!B26*Assumptions!B27)+(-((600*Assumptions!B29)/Assumptions!B30))+(-600*Assumptions!B28))+(-((-Assumptions!B26*Assumptions!B27)+(-((600*Assumptions!B29)/Assumptions!B30))+(-600*Assumptions!B28))*Assumptions!B10)))/(Assumptions!B11+(600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-0.4325204631</v>
      </c>
      <c r="E22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0.75/Assumptions!B37)+(-Assumptions!B38))*(1-Assumptions!B10))+(Assumptions!B33*Assumptions!B35*0.75/Assumptions!B37*(1-Assumptions!B10))+(((-Assumptions!B26*Assumptions!B27)+(-((600*Assumptions!B29)/Assumptions!B30))+(-600*Assumptions!B28))+(-((-Assumptions!B26*Assumptions!B27)+(-((600*Assumptions!B29)/Assumptions!B30))+(-600*Assumptions!B28))*Assumptions!B10)))/(Assumptions!B11+(600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-0.3577114846</v>
      </c>
      <c r="F22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1/Assumptions!B37)+(-Assumptions!B38))*(1-Assumptions!B10))+(Assumptions!B33*Assumptions!B35*1/Assumptions!B37*(1-Assumptions!B10))+(((-Assumptions!B26*Assumptions!B27)+(-((600*Assumptions!B29)/Assumptions!B30))+(-600*Assumptions!B28))+(-((-Assumptions!B26*Assumptions!B27)+(-((600*Assumptions!B29)/Assumptions!B30))+(-600*Assumptions!B28))*Assumptions!B10)))/(Assumptions!B11+(600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-0.2829025061</v>
      </c>
    </row>
    <row r="23">
      <c r="A23" s="46">
        <v>630.0</v>
      </c>
      <c r="B23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/Assumptions!B37)+(-Assumptions!B38))*(1-Assumptions!B10))+(Assumptions!B33*Assumptions!B35*0/Assumptions!B37*(1-Assumptions!B10))+(((-Assumptions!B26*Assumptions!B27)+(-((630*Assumptions!B29)/Assumptions!B30))+(-630*Assumptions!B28))+(-((-Assumptions!B26*Assumptions!B27)+(-((630*Assumptions!B29)/Assumptions!B30))+(-630*Assumptions!B28))*Assumptions!B10)))/(Assumptions!B11+(630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-0.6006655096</v>
      </c>
      <c r="C23" s="51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0.25/Assumptions!B37)+(-Assumptions!B38))*(1-Assumptions!B10))+(Assumptions!B33*Assumptions!B35*0.25/Assumptions!B37*(1-Assumptions!B10))+(((-Assumptions!B26*Assumptions!B27)+(-((630*Assumptions!B29)/Assumptions!B30))+(-630*Assumptions!B28))+(-((-Assumptions!B26*Assumptions!B27)+(-((630*Assumptions!B29)/Assumptions!B30))+(-630*Assumptions!B28))*Assumptions!B10)))/(Assumptions!B11+(630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-0.5261230714</v>
      </c>
      <c r="D23" s="51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0.5/Assumptions!B37)+(-Assumptions!B38))*(1-Assumptions!B10))+(Assumptions!B33*Assumptions!B35*0.5/Assumptions!B37*(1-Assumptions!B10))+(((-Assumptions!B26*Assumptions!B27)+(-((630*Assumptions!B29)/Assumptions!B30))+(-630*Assumptions!B28))+(-((-Assumptions!B26*Assumptions!B27)+(-((630*Assumptions!B29)/Assumptions!B30))+(-630*Assumptions!B28))*Assumptions!B10)))/(Assumptions!B11+(630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-0.4515806332</v>
      </c>
      <c r="E23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0.75/Assumptions!B37)+(-Assumptions!B38))*(1-Assumptions!B10))+(Assumptions!B33*Assumptions!B35*0.75/Assumptions!B37*(1-Assumptions!B10))+(((-Assumptions!B26*Assumptions!B27)+(-((630*Assumptions!B29)/Assumptions!B30))+(-630*Assumptions!B28))+(-((-Assumptions!B26*Assumptions!B27)+(-((630*Assumptions!B29)/Assumptions!B30))+(-630*Assumptions!B28))*Assumptions!B10)))/(Assumptions!B11+(630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</f>
        <v>-0.377038195</v>
      </c>
      <c r="F23" s="50">
        <f>((((((Assumptions!B5*(1+Assumptions!B13))*Assumptions!B6-Assumptions!B7-Assumptions!B8*Assumptions!B9)*(1-Assumptions!B10))+((((Assumptions!B16*(1+Assumptions!B17))*Assumptions!B18)+(-(Assumptions!B16*(1+Assumptions!B17))*Assumptions!B19)-Assumptions!B20+(Assumptions!B34*Assumptions!B35*1/Assumptions!B37)+(-Assumptions!B38))*(1-Assumptions!B10))+(Assumptions!B33*Assumptions!B35*1/Assumptions!B37*(1-Assumptions!B10))+(((-Assumptions!B26*Assumptions!B27)+(-((630*Assumptions!B29)/Assumptions!B30))+(-630*Assumptions!B28))+(-((-Assumptions!B26*Assumptions!B27)+(-((630*Assumptions!B29)/Assumptions!B30))+(-630*Assumptions!B28))*Assumptions!B10)))/(Assumptions!B11+(630*Assumptions!B25/Assumptions!B12)))-((((Assumptions!B5*(1+Assumptions!B13))*Assumptions!B6-Assumptions!B7-Assumptions!B8*Assumptions!B9)*(1-Assumptions!B10))/Assumptions!B11))/((((Assumptions!B5*(1+Assumptions!B13))*Assumptions!B6-Assumptions!B7-Assumptions!B8*Assumptions!B9)*(1-Assumptions!B10))/Assumptions!B11)
</f>
        <v>-0.3024957568</v>
      </c>
    </row>
    <row r="24">
      <c r="B24" s="52"/>
      <c r="E24" s="52"/>
      <c r="F24" s="52"/>
    </row>
  </sheetData>
  <mergeCells count="2">
    <mergeCell ref="A1:G1"/>
    <mergeCell ref="A2:G2"/>
  </mergeCells>
  <conditionalFormatting sqref="B6:F11">
    <cfRule type="colorScale" priority="1">
      <colorScale>
        <cfvo type="formula" val="-0.4"/>
        <cfvo type="formula" val="0"/>
        <cfvo type="formula" val="0.15"/>
        <color rgb="FFE67C73"/>
        <color rgb="FFFFFFFF"/>
        <color rgb="FF57BB8A"/>
      </colorScale>
    </cfRule>
  </conditionalFormatting>
  <conditionalFormatting sqref="B18:F23">
    <cfRule type="colorScale" priority="2">
      <colorScale>
        <cfvo type="formula" val="-0.4"/>
        <cfvo type="formula" val="0"/>
        <cfvo type="formula" val="0.15"/>
        <color rgb="FFE67C73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1" t="s">
        <v>116</v>
      </c>
    </row>
    <row r="2">
      <c r="A2" s="2" t="s">
        <v>117</v>
      </c>
    </row>
    <row r="4">
      <c r="B4" s="2" t="s">
        <v>118</v>
      </c>
      <c r="C4" s="2" t="s">
        <v>119</v>
      </c>
      <c r="D4" s="2" t="s">
        <v>120</v>
      </c>
    </row>
    <row r="5">
      <c r="A5" s="4" t="s">
        <v>121</v>
      </c>
      <c r="B5" s="53"/>
      <c r="C5" s="53"/>
      <c r="D5" s="53"/>
    </row>
    <row r="6">
      <c r="A6" s="6" t="s">
        <v>122</v>
      </c>
      <c r="B6" s="54">
        <f>Assumptions!B24</f>
        <v>570</v>
      </c>
    </row>
    <row r="7">
      <c r="A7" s="6" t="s">
        <v>123</v>
      </c>
      <c r="B7" s="55">
        <f>Assumptions!B24/Assumptions!B16</f>
        <v>6</v>
      </c>
    </row>
    <row r="8">
      <c r="A8" s="6" t="s">
        <v>124</v>
      </c>
      <c r="B8" s="56">
        <f>Assumptions!B25</f>
        <v>0.4</v>
      </c>
    </row>
    <row r="9">
      <c r="A9" s="6" t="s">
        <v>30</v>
      </c>
      <c r="B9" s="54">
        <f>Assumptions!B26</f>
        <v>200</v>
      </c>
    </row>
    <row r="11">
      <c r="A11" s="4" t="s">
        <v>125</v>
      </c>
      <c r="B11" s="53"/>
      <c r="C11" s="53"/>
      <c r="D11" s="53"/>
    </row>
    <row r="12">
      <c r="A12" s="6" t="s">
        <v>126</v>
      </c>
      <c r="B12" s="57">
        <f>'EPS Model'!B15</f>
        <v>0.7946341463</v>
      </c>
      <c r="C12" s="57">
        <f>'EPS Model'!C15</f>
        <v>0.8453414634</v>
      </c>
      <c r="D12" s="57">
        <f>'EPS Model'!D15</f>
        <v>0.8985841463</v>
      </c>
    </row>
    <row r="13">
      <c r="A13" s="6" t="s">
        <v>127</v>
      </c>
      <c r="B13" s="57">
        <f>'EPS Model'!B59</f>
        <v>0.4065340909</v>
      </c>
      <c r="C13" s="57">
        <f>'EPS Model'!C59</f>
        <v>0.8591556818</v>
      </c>
      <c r="D13" s="57">
        <f>'EPS Model'!D59</f>
        <v>1.049817341</v>
      </c>
    </row>
    <row r="14">
      <c r="A14" s="58" t="s">
        <v>108</v>
      </c>
      <c r="B14" s="59">
        <f>'EPS Model'!B61</f>
        <v>-0.3881000554</v>
      </c>
      <c r="C14" s="59">
        <f>'EPS Model'!C61</f>
        <v>0.0138142184</v>
      </c>
      <c r="D14" s="59">
        <f>'EPS Model'!D61</f>
        <v>0.1512331946</v>
      </c>
    </row>
    <row r="15">
      <c r="A15" s="58" t="s">
        <v>109</v>
      </c>
      <c r="B15" s="60">
        <f>'EPS Model'!B62</f>
        <v>-0.4884009292</v>
      </c>
      <c r="C15" s="60">
        <f>'EPS Model'!C62</f>
        <v>0.01634158385</v>
      </c>
      <c r="D15" s="60">
        <f>'EPS Model'!D62</f>
        <v>0.1683016501</v>
      </c>
    </row>
    <row r="17">
      <c r="A17" s="4" t="s">
        <v>128</v>
      </c>
      <c r="B17" s="53"/>
      <c r="C17" s="53"/>
      <c r="D17" s="53"/>
    </row>
    <row r="18">
      <c r="A18" s="6" t="s">
        <v>129</v>
      </c>
      <c r="B18" s="30">
        <f>'EPS Model'!B6</f>
        <v>504</v>
      </c>
      <c r="C18" s="30">
        <f>'EPS Model'!C6</f>
        <v>529.2</v>
      </c>
      <c r="D18" s="30">
        <f>'EPS Model'!D6</f>
        <v>555.66</v>
      </c>
    </row>
    <row r="19">
      <c r="A19" s="6" t="s">
        <v>130</v>
      </c>
      <c r="B19" s="36">
        <f>'EPS Model'!B43</f>
        <v>131.1</v>
      </c>
      <c r="C19" s="36">
        <f>'EPS Model'!C43</f>
        <v>180.918</v>
      </c>
      <c r="D19" s="36">
        <f>'EPS Model'!D43</f>
        <v>249.66684</v>
      </c>
    </row>
    <row r="20">
      <c r="A20" s="6" t="s">
        <v>131</v>
      </c>
      <c r="B20" s="36">
        <f>'EPS Model'!B47</f>
        <v>7</v>
      </c>
      <c r="C20" s="36">
        <f>'EPS Model'!C47</f>
        <v>11.2</v>
      </c>
      <c r="D20" s="36">
        <f>'EPS Model'!D47</f>
        <v>14</v>
      </c>
    </row>
  </sheetData>
  <mergeCells count="2">
    <mergeCell ref="A1:F1"/>
    <mergeCell ref="A2:F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